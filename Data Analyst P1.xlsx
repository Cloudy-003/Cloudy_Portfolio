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73ec30121fa55f/文档/"/>
    </mc:Choice>
  </mc:AlternateContent>
  <xr:revisionPtr revIDLastSave="81" documentId="8_{E0F66B80-92D9-4434-A92E-D36825BE714F}" xr6:coauthVersionLast="47" xr6:coauthVersionMax="47" xr10:uidLastSave="{BE9023DA-047C-4845-AEC6-FE0CFE17D298}"/>
  <bookViews>
    <workbookView xWindow="-108" yWindow="-108" windowWidth="23256" windowHeight="12456" activeTab="1" xr2:uid="{CBF0B04A-0E33-45DC-BA73-021BE39E3E4E}"/>
  </bookViews>
  <sheets>
    <sheet name="Table1" sheetId="2" r:id="rId1"/>
    <sheet name="Sheet1" sheetId="1" r:id="rId2"/>
  </sheets>
  <definedNames>
    <definedName name="ExternalData_1" localSheetId="0" hidden="1">Table1!$A$1:$H$21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DF497C-CA25-4F8B-9E25-BA3A4E74B71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<sst xmlns="http://schemas.openxmlformats.org/spreadsheetml/2006/main" count="139" uniqueCount="30">
  <si>
    <t>OrderID</t>
  </si>
  <si>
    <t>OrderDate</t>
  </si>
  <si>
    <t>Region</t>
  </si>
  <si>
    <t>Category</t>
  </si>
  <si>
    <t>Product</t>
  </si>
  <si>
    <t>Sales</t>
  </si>
  <si>
    <t>Quantity</t>
  </si>
  <si>
    <t>Profit</t>
  </si>
  <si>
    <t>North</t>
  </si>
  <si>
    <t>Electronics</t>
  </si>
  <si>
    <t>Mobile</t>
  </si>
  <si>
    <t>South</t>
  </si>
  <si>
    <t>Clothing</t>
  </si>
  <si>
    <t>T-Shirt</t>
  </si>
  <si>
    <t>West</t>
  </si>
  <si>
    <t>Furniture</t>
  </si>
  <si>
    <t>Chair</t>
  </si>
  <si>
    <t>East</t>
  </si>
  <si>
    <t>Laptop</t>
  </si>
  <si>
    <t>Jeans</t>
  </si>
  <si>
    <t>Table</t>
  </si>
  <si>
    <t>Headphones</t>
  </si>
  <si>
    <t>Jacket</t>
  </si>
  <si>
    <t>Sofa</t>
  </si>
  <si>
    <t>Tablet</t>
  </si>
  <si>
    <t>Shirt</t>
  </si>
  <si>
    <t>Bed</t>
  </si>
  <si>
    <t>Unit Price</t>
  </si>
  <si>
    <t>Profit PU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</si>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</sst>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EE6C4D-72DB-411A-988C-20A03A8F4A1B}" autoFormatId="16" applyNumberFormats="0" applyBorderFormats="0" applyFontFormats="0" applyPatternFormats="0" applyAlignmentFormats="0" applyWidthHeightFormats="0">
  <queryTableRefresh nextId="9">
    <queryTableFields count="8">
      <queryTableField id="1" name="OrderID" tableColumnId="1"/>
      <queryTableField id="2" name="OrderDate" tableColumnId="2"/>
      <queryTableField id="3" name="Region" tableColumnId="3"/>
      <queryTableField id="4" name="Category" tableColumnId="4"/>
      <queryTableField id="5" name="Product" tableColumnId="5"/>
      <queryTableField id="6" name="Sales" tableColumnId="6"/>
      <queryTableField id="7" name="Quantity" tableColumnId="7"/>
      <queryTableField id="8" name="Profi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E48E5-05FF-4252-8944-07B1614658F7}" name="Table1_1" displayName="Table1_1" ref="A1:H21" tableType="queryTable" totalsRowShown="0">
  <autoFilter ref="A1:H21" xr:uid="{9ECE48E5-05FF-4252-8944-07B1614658F7}"/>
  <tableColumns count="8">
    <tableColumn id="1" xr3:uid="{2E1264C5-049F-491F-A8C9-AE7312F5C8AB}" uniqueName="1" name="OrderID" queryTableFieldId="1"/>
    <tableColumn id="2" xr3:uid="{D5CEB619-CF1A-41C3-AE38-510A9480DF33}" uniqueName="2" name="OrderDate" queryTableFieldId="2" dataDxfId="5"/>
    <tableColumn id="3" xr3:uid="{36BB6675-71EB-46E0-8820-AC79FE026CA9}" uniqueName="3" name="Region" queryTableFieldId="3" dataDxfId="4"/>
    <tableColumn id="4" xr3:uid="{108F59E9-2340-4A0D-A8A5-7E24F2CB60B5}" uniqueName="4" name="Category" queryTableFieldId="4" dataDxfId="3"/>
    <tableColumn id="5" xr3:uid="{1A87071D-D98C-4242-BE1C-4DA8FE12D41E}" uniqueName="5" name="Product" queryTableFieldId="5" dataDxfId="2"/>
    <tableColumn id="6" xr3:uid="{7F4893DC-3CD3-4F52-9472-7FE7493F7685}" uniqueName="6" name="Sales" queryTableFieldId="6"/>
    <tableColumn id="7" xr3:uid="{E432D200-1805-462E-B483-ECA224A22A28}" uniqueName="7" name="Quantity" queryTableFieldId="7"/>
    <tableColumn id="8" xr3:uid="{23BE7BE5-BD5F-4D11-BBB8-3387840D86F3}" uniqueName="8" name="Profi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CDBE5-6EA1-4731-94A0-8299D81A4E40}" name="Table1" displayName="Table1" ref="A1:K21" totalsRowShown="0" headerRowDxfId="18" dataDxfId="16" headerRowBorderDxfId="17" tableBorderDxfId="15">
  <autoFilter ref="A1:K21" xr:uid="{AD4CDBE5-6EA1-4731-94A0-8299D81A4E40}"/>
  <tableColumns count="11">
    <tableColumn id="1" xr3:uid="{17579017-E7EA-4516-8DFD-99B679C44EB8}" name="OrderID" dataDxfId="14"/>
    <tableColumn id="2" xr3:uid="{CC1C9F79-85F0-4A1B-B370-516F9D8AED29}" name="OrderDate" dataDxfId="13"/>
    <tableColumn id="3" xr3:uid="{936A9CCA-475E-4FFA-880A-C25144083FCB}" name="Region" dataDxfId="12"/>
    <tableColumn id="4" xr3:uid="{A3E1E971-7CCF-4ED0-961F-BD90D5549054}" name="Category" dataDxfId="11"/>
    <tableColumn id="5" xr3:uid="{F9D4C946-A17C-4BA2-BDFD-0C90F9E8832A}" name="Product" dataDxfId="10"/>
    <tableColumn id="6" xr3:uid="{0C3ED73E-DEF8-4432-9710-B3E747B5ADF4}" name="Sales" dataDxfId="9"/>
    <tableColumn id="7" xr3:uid="{EA37E1B6-48AB-4CBB-99F9-45826D1CD6A6}" name="Quantity" dataDxfId="8"/>
    <tableColumn id="8" xr3:uid="{FC581686-3B84-4AC6-9239-30F220617F90}" name="Profit" dataDxfId="7"/>
    <tableColumn id="11" xr3:uid="{092B29AE-D421-4FB1-B529-6A542A22D26E}" name="Unit Price" dataDxfId="6">
      <calculatedColumnFormula>Table1[[#This Row],[Sales]]/Table1[[#This Row],[Quantity]]</calculatedColumnFormula>
    </tableColumn>
    <tableColumn id="12" xr3:uid="{AE25752D-4343-46BE-B215-745CF5B000E1}" name="Profit PU" dataDxfId="1">
      <calculatedColumnFormula>Table1[[#This Row],[Profit]]/Table1[[#This Row],[Quantity]]</calculatedColumnFormula>
    </tableColumn>
    <tableColumn id="9" xr3:uid="{C1E1994B-677D-42F4-928E-CB2FE39521A0}" name="Profit Margin" dataDxfId="0">
      <calculatedColumnFormula>Table1[[#This Row],[Profit]]/Table1[[#This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FC5D-F737-4E01-8416-BEE81ABF3628}">
  <dimension ref="A1:H21"/>
  <sheetViews>
    <sheetView workbookViewId="0"/>
  </sheetViews>
  <sheetFormatPr defaultRowHeight="14.4" x14ac:dyDescent="0.3"/>
  <cols>
    <col min="1" max="1" width="9.77734375" bestFit="1" customWidth="1"/>
    <col min="2" max="2" width="11.88671875" bestFit="1" customWidth="1"/>
    <col min="3" max="3" width="9" bestFit="1" customWidth="1"/>
    <col min="4" max="4" width="10.77734375" bestFit="1" customWidth="1"/>
    <col min="5" max="5" width="11.109375" bestFit="1" customWidth="1"/>
    <col min="6" max="6" width="7.44140625" bestFit="1" customWidth="1"/>
    <col min="7" max="7" width="10.5546875" bestFit="1" customWidth="1"/>
    <col min="8" max="8" width="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s="1">
        <v>45662</v>
      </c>
      <c r="C2" t="s">
        <v>8</v>
      </c>
      <c r="D2" t="s">
        <v>9</v>
      </c>
      <c r="E2" t="s">
        <v>10</v>
      </c>
      <c r="F2">
        <v>15000</v>
      </c>
      <c r="G2">
        <v>2</v>
      </c>
      <c r="H2">
        <v>3000</v>
      </c>
    </row>
    <row r="3" spans="1:8" x14ac:dyDescent="0.3">
      <c r="A3">
        <v>1002</v>
      </c>
      <c r="B3" s="1">
        <v>45664</v>
      </c>
      <c r="C3" t="s">
        <v>11</v>
      </c>
      <c r="D3" t="s">
        <v>12</v>
      </c>
      <c r="E3" t="s">
        <v>13</v>
      </c>
      <c r="F3">
        <v>800</v>
      </c>
      <c r="G3">
        <v>4</v>
      </c>
      <c r="H3">
        <v>200</v>
      </c>
    </row>
    <row r="4" spans="1:8" x14ac:dyDescent="0.3">
      <c r="A4">
        <v>1003</v>
      </c>
      <c r="B4" s="1">
        <v>45667</v>
      </c>
      <c r="C4" t="s">
        <v>14</v>
      </c>
      <c r="D4" t="s">
        <v>15</v>
      </c>
      <c r="E4" t="s">
        <v>16</v>
      </c>
      <c r="F4">
        <v>2500</v>
      </c>
      <c r="G4">
        <v>1</v>
      </c>
      <c r="H4">
        <v>500</v>
      </c>
    </row>
    <row r="5" spans="1:8" x14ac:dyDescent="0.3">
      <c r="A5">
        <v>1004</v>
      </c>
      <c r="B5" s="1">
        <v>45669</v>
      </c>
      <c r="C5" t="s">
        <v>17</v>
      </c>
      <c r="D5" t="s">
        <v>9</v>
      </c>
      <c r="E5" t="s">
        <v>18</v>
      </c>
      <c r="F5">
        <v>55000</v>
      </c>
      <c r="G5">
        <v>1</v>
      </c>
      <c r="H5">
        <v>7000</v>
      </c>
    </row>
    <row r="6" spans="1:8" x14ac:dyDescent="0.3">
      <c r="A6">
        <v>1005</v>
      </c>
      <c r="B6" s="1">
        <v>45672</v>
      </c>
      <c r="C6" t="s">
        <v>8</v>
      </c>
      <c r="D6" t="s">
        <v>12</v>
      </c>
      <c r="E6" t="s">
        <v>19</v>
      </c>
      <c r="F6">
        <v>2000</v>
      </c>
      <c r="G6">
        <v>2</v>
      </c>
      <c r="H6">
        <v>400</v>
      </c>
    </row>
    <row r="7" spans="1:8" x14ac:dyDescent="0.3">
      <c r="A7">
        <v>1006</v>
      </c>
      <c r="B7" s="1">
        <v>45675</v>
      </c>
      <c r="C7" t="s">
        <v>11</v>
      </c>
      <c r="D7" t="s">
        <v>15</v>
      </c>
      <c r="E7" t="s">
        <v>20</v>
      </c>
      <c r="F7">
        <v>7000</v>
      </c>
      <c r="G7">
        <v>1</v>
      </c>
      <c r="H7">
        <v>1200</v>
      </c>
    </row>
    <row r="8" spans="1:8" x14ac:dyDescent="0.3">
      <c r="A8">
        <v>1007</v>
      </c>
      <c r="B8" s="1">
        <v>45677</v>
      </c>
      <c r="C8" t="s">
        <v>14</v>
      </c>
      <c r="D8" t="s">
        <v>9</v>
      </c>
      <c r="E8" t="s">
        <v>21</v>
      </c>
      <c r="F8">
        <v>1200</v>
      </c>
      <c r="G8">
        <v>3</v>
      </c>
      <c r="H8">
        <v>300</v>
      </c>
    </row>
    <row r="9" spans="1:8" x14ac:dyDescent="0.3">
      <c r="A9">
        <v>1008</v>
      </c>
      <c r="B9" s="1">
        <v>45679</v>
      </c>
      <c r="C9" t="s">
        <v>17</v>
      </c>
      <c r="D9" t="s">
        <v>12</v>
      </c>
      <c r="E9" t="s">
        <v>22</v>
      </c>
      <c r="F9">
        <v>3000</v>
      </c>
      <c r="G9">
        <v>1</v>
      </c>
      <c r="H9">
        <v>800</v>
      </c>
    </row>
    <row r="10" spans="1:8" x14ac:dyDescent="0.3">
      <c r="A10">
        <v>1009</v>
      </c>
      <c r="B10" s="1">
        <v>45690</v>
      </c>
      <c r="C10" t="s">
        <v>8</v>
      </c>
      <c r="D10" t="s">
        <v>15</v>
      </c>
      <c r="E10" t="s">
        <v>23</v>
      </c>
      <c r="F10">
        <v>20000</v>
      </c>
      <c r="G10">
        <v>1</v>
      </c>
      <c r="H10">
        <v>2500</v>
      </c>
    </row>
    <row r="11" spans="1:8" x14ac:dyDescent="0.3">
      <c r="A11">
        <v>1010</v>
      </c>
      <c r="B11" s="1">
        <v>45693</v>
      </c>
      <c r="C11" t="s">
        <v>11</v>
      </c>
      <c r="D11" t="s">
        <v>9</v>
      </c>
      <c r="E11" t="s">
        <v>24</v>
      </c>
      <c r="F11">
        <v>18000</v>
      </c>
      <c r="G11">
        <v>2</v>
      </c>
      <c r="H11">
        <v>2000</v>
      </c>
    </row>
    <row r="12" spans="1:8" x14ac:dyDescent="0.3">
      <c r="A12">
        <v>1011</v>
      </c>
      <c r="B12" s="1">
        <v>45696</v>
      </c>
      <c r="C12" t="s">
        <v>14</v>
      </c>
      <c r="D12" t="s">
        <v>12</v>
      </c>
      <c r="E12" t="s">
        <v>25</v>
      </c>
      <c r="F12">
        <v>1200</v>
      </c>
      <c r="G12">
        <v>2</v>
      </c>
      <c r="H12">
        <v>300</v>
      </c>
    </row>
    <row r="13" spans="1:8" x14ac:dyDescent="0.3">
      <c r="A13">
        <v>1012</v>
      </c>
      <c r="B13" s="1">
        <v>45698</v>
      </c>
      <c r="C13" t="s">
        <v>17</v>
      </c>
      <c r="D13" t="s">
        <v>15</v>
      </c>
      <c r="E13" t="s">
        <v>26</v>
      </c>
      <c r="F13">
        <v>30000</v>
      </c>
      <c r="G13">
        <v>1</v>
      </c>
      <c r="H13">
        <v>4000</v>
      </c>
    </row>
    <row r="14" spans="1:8" x14ac:dyDescent="0.3">
      <c r="A14">
        <v>1013</v>
      </c>
      <c r="B14" s="1">
        <v>45702</v>
      </c>
      <c r="C14" t="s">
        <v>8</v>
      </c>
      <c r="D14" t="s">
        <v>9</v>
      </c>
      <c r="E14" t="s">
        <v>10</v>
      </c>
      <c r="F14">
        <v>14000</v>
      </c>
      <c r="G14">
        <v>2</v>
      </c>
      <c r="H14">
        <v>2500</v>
      </c>
    </row>
    <row r="15" spans="1:8" x14ac:dyDescent="0.3">
      <c r="A15">
        <v>1014</v>
      </c>
      <c r="B15" s="1">
        <v>45706</v>
      </c>
      <c r="C15" t="s">
        <v>11</v>
      </c>
      <c r="D15" t="s">
        <v>12</v>
      </c>
      <c r="E15" t="s">
        <v>13</v>
      </c>
      <c r="F15">
        <v>900</v>
      </c>
      <c r="G15">
        <v>3</v>
      </c>
      <c r="H15">
        <v>250</v>
      </c>
    </row>
    <row r="16" spans="1:8" x14ac:dyDescent="0.3">
      <c r="A16">
        <v>1015</v>
      </c>
      <c r="B16" s="1">
        <v>45708</v>
      </c>
      <c r="C16" t="s">
        <v>14</v>
      </c>
      <c r="D16" t="s">
        <v>15</v>
      </c>
      <c r="E16" t="s">
        <v>16</v>
      </c>
      <c r="F16">
        <v>2600</v>
      </c>
      <c r="G16">
        <v>1</v>
      </c>
      <c r="H16">
        <v>600</v>
      </c>
    </row>
    <row r="17" spans="1:8" x14ac:dyDescent="0.3">
      <c r="A17">
        <v>1016</v>
      </c>
      <c r="B17" s="1">
        <v>45710</v>
      </c>
      <c r="C17" t="s">
        <v>17</v>
      </c>
      <c r="D17" t="s">
        <v>9</v>
      </c>
      <c r="E17" t="s">
        <v>18</v>
      </c>
      <c r="F17">
        <v>60000</v>
      </c>
      <c r="G17">
        <v>1</v>
      </c>
      <c r="H17">
        <v>8000</v>
      </c>
    </row>
    <row r="18" spans="1:8" x14ac:dyDescent="0.3">
      <c r="A18">
        <v>1017</v>
      </c>
      <c r="B18" s="1">
        <v>45717</v>
      </c>
      <c r="C18" t="s">
        <v>8</v>
      </c>
      <c r="D18" t="s">
        <v>12</v>
      </c>
      <c r="E18" t="s">
        <v>19</v>
      </c>
      <c r="F18">
        <v>2200</v>
      </c>
      <c r="G18">
        <v>2</v>
      </c>
      <c r="H18">
        <v>500</v>
      </c>
    </row>
    <row r="19" spans="1:8" x14ac:dyDescent="0.3">
      <c r="A19">
        <v>1018</v>
      </c>
      <c r="B19" s="1">
        <v>45721</v>
      </c>
      <c r="C19" t="s">
        <v>11</v>
      </c>
      <c r="D19" t="s">
        <v>15</v>
      </c>
      <c r="E19" t="s">
        <v>20</v>
      </c>
      <c r="F19">
        <v>7500</v>
      </c>
      <c r="G19">
        <v>1</v>
      </c>
      <c r="H19">
        <v>1300</v>
      </c>
    </row>
    <row r="20" spans="1:8" x14ac:dyDescent="0.3">
      <c r="A20">
        <v>1019</v>
      </c>
      <c r="B20" s="1">
        <v>45724</v>
      </c>
      <c r="C20" t="s">
        <v>14</v>
      </c>
      <c r="D20" t="s">
        <v>9</v>
      </c>
      <c r="E20" t="s">
        <v>21</v>
      </c>
      <c r="F20">
        <v>1500</v>
      </c>
      <c r="G20">
        <v>2</v>
      </c>
      <c r="H20">
        <v>400</v>
      </c>
    </row>
    <row r="21" spans="1:8" x14ac:dyDescent="0.3">
      <c r="A21">
        <v>1020</v>
      </c>
      <c r="B21" s="1">
        <v>45728</v>
      </c>
      <c r="C21" t="s">
        <v>17</v>
      </c>
      <c r="D21" t="s">
        <v>12</v>
      </c>
      <c r="E21" t="s">
        <v>22</v>
      </c>
      <c r="F21">
        <v>3200</v>
      </c>
      <c r="G21">
        <v>1</v>
      </c>
      <c r="H21">
        <v>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DCD9-B285-461F-B186-659248D41326}">
  <dimension ref="A1:K21"/>
  <sheetViews>
    <sheetView tabSelected="1" workbookViewId="0">
      <selection activeCell="K5" sqref="K5"/>
    </sheetView>
  </sheetViews>
  <sheetFormatPr defaultColWidth="12.109375" defaultRowHeight="14.4" x14ac:dyDescent="0.3"/>
  <cols>
    <col min="2" max="2" width="14.21875" customWidth="1"/>
    <col min="4" max="4" width="12.33203125" customWidth="1"/>
    <col min="7" max="7" width="12.21875" customWidth="1"/>
    <col min="11" max="11" width="19.44140625" style="21" bestFit="1" customWidth="1"/>
  </cols>
  <sheetData>
    <row r="1" spans="1:11" ht="18.600000000000001" thickBot="1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4" t="s">
        <v>27</v>
      </c>
      <c r="J1" s="7" t="s">
        <v>28</v>
      </c>
      <c r="K1" s="20" t="s">
        <v>29</v>
      </c>
    </row>
    <row r="2" spans="1:11" x14ac:dyDescent="0.3">
      <c r="A2" s="2">
        <v>1001</v>
      </c>
      <c r="B2" s="3">
        <v>45662</v>
      </c>
      <c r="C2" s="2" t="s">
        <v>8</v>
      </c>
      <c r="D2" s="2" t="s">
        <v>9</v>
      </c>
      <c r="E2" s="2" t="s">
        <v>10</v>
      </c>
      <c r="F2" s="11">
        <v>15000</v>
      </c>
      <c r="G2" s="11">
        <v>2</v>
      </c>
      <c r="H2" s="11">
        <v>3000</v>
      </c>
      <c r="I2" s="15">
        <f>Table1[[#This Row],[Sales]]/Table1[[#This Row],[Quantity]]</f>
        <v>7500</v>
      </c>
      <c r="J2" s="11">
        <f>Table1[[#This Row],[Profit]]/Table1[[#This Row],[Quantity]]</f>
        <v>1500</v>
      </c>
      <c r="K2" s="17">
        <f>Table1[[#This Row],[Profit]]/Table1[[#This Row],[Sales]]</f>
        <v>0.2</v>
      </c>
    </row>
    <row r="3" spans="1:11" x14ac:dyDescent="0.3">
      <c r="A3" s="4">
        <v>1002</v>
      </c>
      <c r="B3" s="5">
        <v>45664</v>
      </c>
      <c r="C3" s="4" t="s">
        <v>11</v>
      </c>
      <c r="D3" s="4" t="s">
        <v>12</v>
      </c>
      <c r="E3" s="4" t="s">
        <v>13</v>
      </c>
      <c r="F3" s="12">
        <v>800</v>
      </c>
      <c r="G3" s="12">
        <v>4</v>
      </c>
      <c r="H3" s="12">
        <v>200</v>
      </c>
      <c r="I3" s="12">
        <f>Table1[[#This Row],[Sales]]/Table1[[#This Row],[Quantity]]</f>
        <v>200</v>
      </c>
      <c r="J3" s="12">
        <f>Table1[[#This Row],[Profit]]/Table1[[#This Row],[Quantity]]</f>
        <v>50</v>
      </c>
      <c r="K3" s="18">
        <f>Table1[[#This Row],[Profit]]/Table1[[#This Row],[Sales]]</f>
        <v>0.25</v>
      </c>
    </row>
    <row r="4" spans="1:11" x14ac:dyDescent="0.3">
      <c r="A4" s="4">
        <v>1003</v>
      </c>
      <c r="B4" s="5">
        <v>45667</v>
      </c>
      <c r="C4" s="4" t="s">
        <v>14</v>
      </c>
      <c r="D4" s="4" t="s">
        <v>15</v>
      </c>
      <c r="E4" s="4" t="s">
        <v>16</v>
      </c>
      <c r="F4" s="12">
        <v>2500</v>
      </c>
      <c r="G4" s="12">
        <v>1</v>
      </c>
      <c r="H4" s="12">
        <v>500</v>
      </c>
      <c r="I4" s="16">
        <f>Table1[[#This Row],[Sales]]/Table1[[#This Row],[Quantity]]</f>
        <v>2500</v>
      </c>
      <c r="J4" s="12">
        <f>Table1[[#This Row],[Profit]]/Table1[[#This Row],[Quantity]]</f>
        <v>500</v>
      </c>
      <c r="K4" s="18">
        <f>Table1[[#This Row],[Profit]]/Table1[[#This Row],[Sales]]</f>
        <v>0.2</v>
      </c>
    </row>
    <row r="5" spans="1:11" x14ac:dyDescent="0.3">
      <c r="A5" s="4">
        <v>1004</v>
      </c>
      <c r="B5" s="5">
        <v>45669</v>
      </c>
      <c r="C5" s="4" t="s">
        <v>17</v>
      </c>
      <c r="D5" s="4" t="s">
        <v>9</v>
      </c>
      <c r="E5" s="4" t="s">
        <v>18</v>
      </c>
      <c r="F5" s="12">
        <v>55000</v>
      </c>
      <c r="G5" s="12">
        <v>1</v>
      </c>
      <c r="H5" s="12">
        <v>7000</v>
      </c>
      <c r="I5" s="12">
        <f>Table1[[#This Row],[Sales]]/Table1[[#This Row],[Quantity]]</f>
        <v>55000</v>
      </c>
      <c r="J5" s="12">
        <f>Table1[[#This Row],[Profit]]/Table1[[#This Row],[Quantity]]</f>
        <v>7000</v>
      </c>
      <c r="K5" s="18">
        <f>Table1[[#This Row],[Profit]]/Table1[[#This Row],[Sales]]</f>
        <v>0.12727272727272726</v>
      </c>
    </row>
    <row r="6" spans="1:11" x14ac:dyDescent="0.3">
      <c r="A6" s="4">
        <v>1005</v>
      </c>
      <c r="B6" s="5">
        <v>45672</v>
      </c>
      <c r="C6" s="4" t="s">
        <v>8</v>
      </c>
      <c r="D6" s="4" t="s">
        <v>12</v>
      </c>
      <c r="E6" s="4" t="s">
        <v>19</v>
      </c>
      <c r="F6" s="12">
        <v>2000</v>
      </c>
      <c r="G6" s="12">
        <v>2</v>
      </c>
      <c r="H6" s="12">
        <v>400</v>
      </c>
      <c r="I6" s="16">
        <f>Table1[[#This Row],[Sales]]/Table1[[#This Row],[Quantity]]</f>
        <v>1000</v>
      </c>
      <c r="J6" s="12">
        <f>Table1[[#This Row],[Profit]]/Table1[[#This Row],[Quantity]]</f>
        <v>200</v>
      </c>
      <c r="K6" s="18">
        <f>Table1[[#This Row],[Profit]]/Table1[[#This Row],[Sales]]</f>
        <v>0.2</v>
      </c>
    </row>
    <row r="7" spans="1:11" x14ac:dyDescent="0.3">
      <c r="A7" s="4">
        <v>1006</v>
      </c>
      <c r="B7" s="5">
        <v>45675</v>
      </c>
      <c r="C7" s="4" t="s">
        <v>11</v>
      </c>
      <c r="D7" s="4" t="s">
        <v>15</v>
      </c>
      <c r="E7" s="4" t="s">
        <v>20</v>
      </c>
      <c r="F7" s="12">
        <v>7000</v>
      </c>
      <c r="G7" s="12">
        <v>1</v>
      </c>
      <c r="H7" s="12">
        <v>1200</v>
      </c>
      <c r="I7" s="12">
        <f>Table1[[#This Row],[Sales]]/Table1[[#This Row],[Quantity]]</f>
        <v>7000</v>
      </c>
      <c r="J7" s="12">
        <f>Table1[[#This Row],[Profit]]/Table1[[#This Row],[Quantity]]</f>
        <v>1200</v>
      </c>
      <c r="K7" s="18">
        <f>Table1[[#This Row],[Profit]]/Table1[[#This Row],[Sales]]</f>
        <v>0.17142857142857143</v>
      </c>
    </row>
    <row r="8" spans="1:11" x14ac:dyDescent="0.3">
      <c r="A8" s="4">
        <v>1007</v>
      </c>
      <c r="B8" s="5">
        <v>45677</v>
      </c>
      <c r="C8" s="4" t="s">
        <v>14</v>
      </c>
      <c r="D8" s="4" t="s">
        <v>9</v>
      </c>
      <c r="E8" s="4" t="s">
        <v>21</v>
      </c>
      <c r="F8" s="12">
        <v>1200</v>
      </c>
      <c r="G8" s="12">
        <v>3</v>
      </c>
      <c r="H8" s="12">
        <v>300</v>
      </c>
      <c r="I8" s="16">
        <f>Table1[[#This Row],[Sales]]/Table1[[#This Row],[Quantity]]</f>
        <v>400</v>
      </c>
      <c r="J8" s="12">
        <f>Table1[[#This Row],[Profit]]/Table1[[#This Row],[Quantity]]</f>
        <v>100</v>
      </c>
      <c r="K8" s="18">
        <f>Table1[[#This Row],[Profit]]/Table1[[#This Row],[Sales]]</f>
        <v>0.25</v>
      </c>
    </row>
    <row r="9" spans="1:11" x14ac:dyDescent="0.3">
      <c r="A9" s="4">
        <v>1008</v>
      </c>
      <c r="B9" s="5">
        <v>45679</v>
      </c>
      <c r="C9" s="4" t="s">
        <v>17</v>
      </c>
      <c r="D9" s="4" t="s">
        <v>12</v>
      </c>
      <c r="E9" s="4" t="s">
        <v>22</v>
      </c>
      <c r="F9" s="12">
        <v>3000</v>
      </c>
      <c r="G9" s="12">
        <v>1</v>
      </c>
      <c r="H9" s="12">
        <v>800</v>
      </c>
      <c r="I9" s="12">
        <f>Table1[[#This Row],[Sales]]/Table1[[#This Row],[Quantity]]</f>
        <v>3000</v>
      </c>
      <c r="J9" s="12">
        <f>Table1[[#This Row],[Profit]]/Table1[[#This Row],[Quantity]]</f>
        <v>800</v>
      </c>
      <c r="K9" s="18">
        <f>Table1[[#This Row],[Profit]]/Table1[[#This Row],[Sales]]</f>
        <v>0.26666666666666666</v>
      </c>
    </row>
    <row r="10" spans="1:11" x14ac:dyDescent="0.3">
      <c r="A10" s="4">
        <v>1009</v>
      </c>
      <c r="B10" s="5">
        <v>45690</v>
      </c>
      <c r="C10" s="4" t="s">
        <v>8</v>
      </c>
      <c r="D10" s="4" t="s">
        <v>15</v>
      </c>
      <c r="E10" s="4" t="s">
        <v>23</v>
      </c>
      <c r="F10" s="12">
        <v>20000</v>
      </c>
      <c r="G10" s="12">
        <v>1</v>
      </c>
      <c r="H10" s="12">
        <v>2500</v>
      </c>
      <c r="I10" s="16">
        <f>Table1[[#This Row],[Sales]]/Table1[[#This Row],[Quantity]]</f>
        <v>20000</v>
      </c>
      <c r="J10" s="12">
        <f>Table1[[#This Row],[Profit]]/Table1[[#This Row],[Quantity]]</f>
        <v>2500</v>
      </c>
      <c r="K10" s="18">
        <f>Table1[[#This Row],[Profit]]/Table1[[#This Row],[Sales]]</f>
        <v>0.125</v>
      </c>
    </row>
    <row r="11" spans="1:11" x14ac:dyDescent="0.3">
      <c r="A11" s="4">
        <v>1010</v>
      </c>
      <c r="B11" s="5">
        <v>45693</v>
      </c>
      <c r="C11" s="4" t="s">
        <v>11</v>
      </c>
      <c r="D11" s="4" t="s">
        <v>9</v>
      </c>
      <c r="E11" s="4" t="s">
        <v>24</v>
      </c>
      <c r="F11" s="12">
        <v>18000</v>
      </c>
      <c r="G11" s="12">
        <v>2</v>
      </c>
      <c r="H11" s="12">
        <v>2000</v>
      </c>
      <c r="I11" s="12">
        <f>Table1[[#This Row],[Sales]]/Table1[[#This Row],[Quantity]]</f>
        <v>9000</v>
      </c>
      <c r="J11" s="12">
        <f>Table1[[#This Row],[Profit]]/Table1[[#This Row],[Quantity]]</f>
        <v>1000</v>
      </c>
      <c r="K11" s="18">
        <f>Table1[[#This Row],[Profit]]/Table1[[#This Row],[Sales]]</f>
        <v>0.1111111111111111</v>
      </c>
    </row>
    <row r="12" spans="1:11" x14ac:dyDescent="0.3">
      <c r="A12" s="4">
        <v>1011</v>
      </c>
      <c r="B12" s="5">
        <v>45696</v>
      </c>
      <c r="C12" s="4" t="s">
        <v>14</v>
      </c>
      <c r="D12" s="4" t="s">
        <v>12</v>
      </c>
      <c r="E12" s="4" t="s">
        <v>25</v>
      </c>
      <c r="F12" s="12">
        <v>1200</v>
      </c>
      <c r="G12" s="12">
        <v>2</v>
      </c>
      <c r="H12" s="12">
        <v>300</v>
      </c>
      <c r="I12" s="16">
        <f>Table1[[#This Row],[Sales]]/Table1[[#This Row],[Quantity]]</f>
        <v>600</v>
      </c>
      <c r="J12" s="12">
        <f>Table1[[#This Row],[Profit]]/Table1[[#This Row],[Quantity]]</f>
        <v>150</v>
      </c>
      <c r="K12" s="18">
        <f>Table1[[#This Row],[Profit]]/Table1[[#This Row],[Sales]]</f>
        <v>0.25</v>
      </c>
    </row>
    <row r="13" spans="1:11" x14ac:dyDescent="0.3">
      <c r="A13" s="4">
        <v>1012</v>
      </c>
      <c r="B13" s="5">
        <v>45698</v>
      </c>
      <c r="C13" s="4" t="s">
        <v>17</v>
      </c>
      <c r="D13" s="4" t="s">
        <v>15</v>
      </c>
      <c r="E13" s="4" t="s">
        <v>26</v>
      </c>
      <c r="F13" s="12">
        <v>30000</v>
      </c>
      <c r="G13" s="12">
        <v>1</v>
      </c>
      <c r="H13" s="12">
        <v>4000</v>
      </c>
      <c r="I13" s="12">
        <f>Table1[[#This Row],[Sales]]/Table1[[#This Row],[Quantity]]</f>
        <v>30000</v>
      </c>
      <c r="J13" s="12">
        <f>Table1[[#This Row],[Profit]]/Table1[[#This Row],[Quantity]]</f>
        <v>4000</v>
      </c>
      <c r="K13" s="18">
        <f>Table1[[#This Row],[Profit]]/Table1[[#This Row],[Sales]]</f>
        <v>0.13333333333333333</v>
      </c>
    </row>
    <row r="14" spans="1:11" x14ac:dyDescent="0.3">
      <c r="A14" s="4">
        <v>1013</v>
      </c>
      <c r="B14" s="5">
        <v>45702</v>
      </c>
      <c r="C14" s="4" t="s">
        <v>8</v>
      </c>
      <c r="D14" s="4" t="s">
        <v>9</v>
      </c>
      <c r="E14" s="4" t="s">
        <v>10</v>
      </c>
      <c r="F14" s="12">
        <v>14000</v>
      </c>
      <c r="G14" s="12">
        <v>2</v>
      </c>
      <c r="H14" s="12">
        <v>2500</v>
      </c>
      <c r="I14" s="16">
        <f>Table1[[#This Row],[Sales]]/Table1[[#This Row],[Quantity]]</f>
        <v>7000</v>
      </c>
      <c r="J14" s="12">
        <f>Table1[[#This Row],[Profit]]/Table1[[#This Row],[Quantity]]</f>
        <v>1250</v>
      </c>
      <c r="K14" s="18">
        <f>Table1[[#This Row],[Profit]]/Table1[[#This Row],[Sales]]</f>
        <v>0.17857142857142858</v>
      </c>
    </row>
    <row r="15" spans="1:11" x14ac:dyDescent="0.3">
      <c r="A15" s="4">
        <v>1014</v>
      </c>
      <c r="B15" s="5">
        <v>45706</v>
      </c>
      <c r="C15" s="4" t="s">
        <v>11</v>
      </c>
      <c r="D15" s="4" t="s">
        <v>12</v>
      </c>
      <c r="E15" s="4" t="s">
        <v>13</v>
      </c>
      <c r="F15" s="12">
        <v>900</v>
      </c>
      <c r="G15" s="12">
        <v>3</v>
      </c>
      <c r="H15" s="12">
        <v>250</v>
      </c>
      <c r="I15" s="12">
        <f>Table1[[#This Row],[Sales]]/Table1[[#This Row],[Quantity]]</f>
        <v>300</v>
      </c>
      <c r="J15" s="12">
        <f>Table1[[#This Row],[Profit]]/Table1[[#This Row],[Quantity]]</f>
        <v>83.333333333333329</v>
      </c>
      <c r="K15" s="18">
        <f>Table1[[#This Row],[Profit]]/Table1[[#This Row],[Sales]]</f>
        <v>0.27777777777777779</v>
      </c>
    </row>
    <row r="16" spans="1:11" x14ac:dyDescent="0.3">
      <c r="A16" s="4">
        <v>1015</v>
      </c>
      <c r="B16" s="5">
        <v>45708</v>
      </c>
      <c r="C16" s="4" t="s">
        <v>14</v>
      </c>
      <c r="D16" s="4" t="s">
        <v>15</v>
      </c>
      <c r="E16" s="4" t="s">
        <v>16</v>
      </c>
      <c r="F16" s="12">
        <v>2600</v>
      </c>
      <c r="G16" s="12">
        <v>1</v>
      </c>
      <c r="H16" s="12">
        <v>600</v>
      </c>
      <c r="I16" s="16">
        <f>Table1[[#This Row],[Sales]]/Table1[[#This Row],[Quantity]]</f>
        <v>2600</v>
      </c>
      <c r="J16" s="12">
        <f>Table1[[#This Row],[Profit]]/Table1[[#This Row],[Quantity]]</f>
        <v>600</v>
      </c>
      <c r="K16" s="18">
        <f>Table1[[#This Row],[Profit]]/Table1[[#This Row],[Sales]]</f>
        <v>0.23076923076923078</v>
      </c>
    </row>
    <row r="17" spans="1:11" x14ac:dyDescent="0.3">
      <c r="A17" s="4">
        <v>1016</v>
      </c>
      <c r="B17" s="5">
        <v>45710</v>
      </c>
      <c r="C17" s="4" t="s">
        <v>17</v>
      </c>
      <c r="D17" s="4" t="s">
        <v>9</v>
      </c>
      <c r="E17" s="4" t="s">
        <v>18</v>
      </c>
      <c r="F17" s="12">
        <v>60000</v>
      </c>
      <c r="G17" s="12">
        <v>1</v>
      </c>
      <c r="H17" s="12">
        <v>8000</v>
      </c>
      <c r="I17" s="12">
        <f>Table1[[#This Row],[Sales]]/Table1[[#This Row],[Quantity]]</f>
        <v>60000</v>
      </c>
      <c r="J17" s="12">
        <f>Table1[[#This Row],[Profit]]/Table1[[#This Row],[Quantity]]</f>
        <v>8000</v>
      </c>
      <c r="K17" s="18">
        <f>Table1[[#This Row],[Profit]]/Table1[[#This Row],[Sales]]</f>
        <v>0.13333333333333333</v>
      </c>
    </row>
    <row r="18" spans="1:11" x14ac:dyDescent="0.3">
      <c r="A18" s="4">
        <v>1017</v>
      </c>
      <c r="B18" s="5">
        <v>45717</v>
      </c>
      <c r="C18" s="4" t="s">
        <v>8</v>
      </c>
      <c r="D18" s="4" t="s">
        <v>12</v>
      </c>
      <c r="E18" s="4" t="s">
        <v>19</v>
      </c>
      <c r="F18" s="12">
        <v>2200</v>
      </c>
      <c r="G18" s="12">
        <v>2</v>
      </c>
      <c r="H18" s="12">
        <v>500</v>
      </c>
      <c r="I18" s="16">
        <f>Table1[[#This Row],[Sales]]/Table1[[#This Row],[Quantity]]</f>
        <v>1100</v>
      </c>
      <c r="J18" s="12">
        <f>Table1[[#This Row],[Profit]]/Table1[[#This Row],[Quantity]]</f>
        <v>250</v>
      </c>
      <c r="K18" s="18">
        <f>Table1[[#This Row],[Profit]]/Table1[[#This Row],[Sales]]</f>
        <v>0.22727272727272727</v>
      </c>
    </row>
    <row r="19" spans="1:11" x14ac:dyDescent="0.3">
      <c r="A19" s="4">
        <v>1018</v>
      </c>
      <c r="B19" s="5">
        <v>45721</v>
      </c>
      <c r="C19" s="4" t="s">
        <v>11</v>
      </c>
      <c r="D19" s="4" t="s">
        <v>15</v>
      </c>
      <c r="E19" s="4" t="s">
        <v>20</v>
      </c>
      <c r="F19" s="12">
        <v>7500</v>
      </c>
      <c r="G19" s="12">
        <v>1</v>
      </c>
      <c r="H19" s="12">
        <v>1300</v>
      </c>
      <c r="I19" s="12">
        <f>Table1[[#This Row],[Sales]]/Table1[[#This Row],[Quantity]]</f>
        <v>7500</v>
      </c>
      <c r="J19" s="12">
        <f>Table1[[#This Row],[Profit]]/Table1[[#This Row],[Quantity]]</f>
        <v>1300</v>
      </c>
      <c r="K19" s="18">
        <f>Table1[[#This Row],[Profit]]/Table1[[#This Row],[Sales]]</f>
        <v>0.17333333333333334</v>
      </c>
    </row>
    <row r="20" spans="1:11" x14ac:dyDescent="0.3">
      <c r="A20" s="4">
        <v>1019</v>
      </c>
      <c r="B20" s="5">
        <v>45724</v>
      </c>
      <c r="C20" s="4" t="s">
        <v>14</v>
      </c>
      <c r="D20" s="4" t="s">
        <v>9</v>
      </c>
      <c r="E20" s="4" t="s">
        <v>21</v>
      </c>
      <c r="F20" s="12">
        <v>1500</v>
      </c>
      <c r="G20" s="12">
        <v>2</v>
      </c>
      <c r="H20" s="12">
        <v>400</v>
      </c>
      <c r="I20" s="16">
        <f>Table1[[#This Row],[Sales]]/Table1[[#This Row],[Quantity]]</f>
        <v>750</v>
      </c>
      <c r="J20" s="12">
        <f>Table1[[#This Row],[Profit]]/Table1[[#This Row],[Quantity]]</f>
        <v>200</v>
      </c>
      <c r="K20" s="18">
        <f>Table1[[#This Row],[Profit]]/Table1[[#This Row],[Sales]]</f>
        <v>0.26666666666666666</v>
      </c>
    </row>
    <row r="21" spans="1:11" x14ac:dyDescent="0.3">
      <c r="A21" s="9">
        <v>1020</v>
      </c>
      <c r="B21" s="10">
        <v>45728</v>
      </c>
      <c r="C21" s="9" t="s">
        <v>17</v>
      </c>
      <c r="D21" s="9" t="s">
        <v>12</v>
      </c>
      <c r="E21" s="9" t="s">
        <v>22</v>
      </c>
      <c r="F21" s="13">
        <v>3200</v>
      </c>
      <c r="G21" s="13">
        <v>1</v>
      </c>
      <c r="H21" s="13">
        <v>900</v>
      </c>
      <c r="I21" s="13">
        <f>Table1[[#This Row],[Sales]]/Table1[[#This Row],[Quantity]]</f>
        <v>3200</v>
      </c>
      <c r="J21" s="13">
        <f>Table1[[#This Row],[Profit]]/Table1[[#This Row],[Quantity]]</f>
        <v>900</v>
      </c>
      <c r="K21" s="19">
        <f>Table1[[#This Row],[Profit]]/Table1[[#This Row],[Sales]]</f>
        <v>0.28125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E68C53-9F3D-47CD-AA73-E7CFF26967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Romil Devnath</dc:creator>
  <cp:lastModifiedBy>Romil Devnath</cp:lastModifiedBy>
  <dcterms:created xsi:type="dcterms:W3CDTF">2026-04-30T18:09:34Z</dcterms:created>
  <dcterms:modified xsi:type="dcterms:W3CDTF">2026-04-30T19:25:30Z</dcterms:modified>
</cp:coreProperties>
</file>